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inoscola/hotel-os/"/>
    </mc:Choice>
  </mc:AlternateContent>
  <xr:revisionPtr revIDLastSave="0" documentId="8_{396AB2E2-1F88-634A-854D-255B56B960E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USALI DU PARC" sheetId="2" r:id="rId1"/>
  </sheets>
  <definedNames>
    <definedName name="SlicerCache_Table_2_Col_1">#N/A</definedName>
    <definedName name="Z_27F44459_43C7_45C0_ADE4_504BCB3459B6_.wvu.FilterData" localSheetId="0" hidden="1">'USALI DU PARC'!$A$3:$D$28</definedName>
  </definedNames>
  <calcPr calcId="191029"/>
  <customWorkbookViews>
    <customWorkbookView name="Filtro 1" guid="{27F44459-43C7-45C0-ADE4-504BCB3459B6}" maximized="1" windowWidth="0" windowHeight="0" activeSheetId="0"/>
  </customWorkbookView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B27" i="2"/>
  <c r="D23" i="2" s="1"/>
  <c r="B17" i="2"/>
  <c r="B15" i="2" s="1"/>
  <c r="B14" i="2"/>
  <c r="B12" i="2" s="1"/>
  <c r="B11" i="2"/>
  <c r="B9" i="2" s="1"/>
  <c r="H7" i="2"/>
  <c r="D7" i="2"/>
  <c r="H6" i="2"/>
  <c r="D6" i="2"/>
  <c r="D5" i="2"/>
  <c r="D4" i="2"/>
  <c r="D8" i="2" l="1"/>
  <c r="D20" i="2"/>
  <c r="D24" i="2"/>
  <c r="H5" i="2"/>
  <c r="D25" i="2"/>
  <c r="D26" i="2"/>
  <c r="B18" i="2"/>
  <c r="C19" i="2" s="1"/>
  <c r="C28" i="2" s="1"/>
  <c r="H4" i="2" s="1"/>
  <c r="D15" i="2"/>
  <c r="D27" i="2" l="1"/>
  <c r="D9" i="2"/>
  <c r="D12" i="2"/>
  <c r="D18" i="2" l="1"/>
</calcChain>
</file>

<file path=xl/sharedStrings.xml><?xml version="1.0" encoding="utf-8"?>
<sst xmlns="http://schemas.openxmlformats.org/spreadsheetml/2006/main" count="41" uniqueCount="41">
  <si>
    <t>DARE</t>
  </si>
  <si>
    <t>AVERE</t>
  </si>
  <si>
    <t>%</t>
  </si>
  <si>
    <t>ANALISI KPY</t>
  </si>
  <si>
    <t>range
ottimale</t>
  </si>
  <si>
    <t>Ricavi camere</t>
  </si>
  <si>
    <t>EBITDAR SU RICAVI</t>
  </si>
  <si>
    <t>30% - 35%</t>
  </si>
  <si>
    <t>Ricavi ristorante e bar</t>
  </si>
  <si>
    <t>F&amp;B COST SU RICAVI</t>
  </si>
  <si>
    <t>18% - 22%</t>
  </si>
  <si>
    <t>ricavi altri reparti operativi</t>
  </si>
  <si>
    <t>COSTO DEL LAVORO</t>
  </si>
  <si>
    <t>28% - 30%</t>
  </si>
  <si>
    <t>Ricavi vari operativi</t>
  </si>
  <si>
    <t>COSTO ENERGETICO SU RICAVI</t>
  </si>
  <si>
    <t>5% - 7%</t>
  </si>
  <si>
    <t>A-TOTALE RICAVI OPERATIVI</t>
  </si>
  <si>
    <t>costi reparto camere</t>
  </si>
  <si>
    <t>Costo del lavoro reparto camere</t>
  </si>
  <si>
    <t>Altri costi camere</t>
  </si>
  <si>
    <t>25% - 30%</t>
  </si>
  <si>
    <t>costi reparto ristorante e bar</t>
  </si>
  <si>
    <t>Costo del lavoro reparto ristorante e bar</t>
  </si>
  <si>
    <t>costo del venduto ristorante e bar</t>
  </si>
  <si>
    <t>costi altri reparti operativi</t>
  </si>
  <si>
    <t>Costo del lavoro altri reparti operativi</t>
  </si>
  <si>
    <t>costo del venduto altri reparti operativi</t>
  </si>
  <si>
    <t>B - TOTALE COSTI DIRETTI DEI REPARTI</t>
  </si>
  <si>
    <t>C - MARGINE DEI SERVIZI OPERATIVI (A-B)</t>
  </si>
  <si>
    <t>costi amministrativi e generali</t>
  </si>
  <si>
    <t>Costo del lavoro non suddiviso</t>
  </si>
  <si>
    <t>altri costi amministrativi e generali</t>
  </si>
  <si>
    <t>costi informatica e telecomunicazioni</t>
  </si>
  <si>
    <t>costi vendite e marketing</t>
  </si>
  <si>
    <t>costi di riparazioni e manutenzioni</t>
  </si>
  <si>
    <t>costi utenze</t>
  </si>
  <si>
    <t>D - TOTALE DEI COSTI OPERATIVI INDIRETTI</t>
  </si>
  <si>
    <t>E- EBITDAR - RISULTATO OPERATIVO (C-D)</t>
  </si>
  <si>
    <t>HOTEL DU PARC</t>
  </si>
  <si>
    <t>MESE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</si>
</sst>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_-[$€-2]* #,##0.00_-;_-[$€-2]* \-#,##0.00_-;_-[$€-2]* &quot;-&quot;??_-;_-@"/>
  </numFmts>
  <fonts count="8">
    <font>
      <sz val="10"/>
      <color rgb="FF000000"/>
      <name val="Arial"/>
      <scheme val="minor"/>
    </font>
    <font>
      <b/>
      <sz val="21"/>
      <color theme="1"/>
      <name val="Comfortaa"/>
    </font>
    <font>
      <sz val="12"/>
      <color theme="1"/>
      <name val="Comfortaa"/>
    </font>
    <font>
      <sz val="12"/>
      <color rgb="FF000000"/>
      <name val="Comfortaa"/>
    </font>
    <font>
      <b/>
      <sz val="12"/>
      <color rgb="FFFFFFFF"/>
      <name val="Comfortaa"/>
    </font>
    <font>
      <b/>
      <sz val="12"/>
      <color theme="1"/>
      <name val="Comfortaa"/>
    </font>
    <font>
      <sz val="10"/>
      <color theme="1"/>
      <name val="Comfortaa"/>
    </font>
    <font>
      <b/>
      <sz val="12"/>
      <color rgb="FF000000"/>
      <name val="Comfortaa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0" fontId="2" fillId="3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10" fontId="2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  <xf numFmtId="10" fontId="5" fillId="4" borderId="1" xfId="0" applyNumberFormat="1" applyFont="1" applyFill="1" applyBorder="1" applyAlignment="1">
      <alignment vertical="center"/>
    </xf>
    <xf numFmtId="10" fontId="6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5" fontId="3" fillId="6" borderId="1" xfId="0" applyNumberFormat="1" applyFont="1" applyFill="1" applyBorder="1" applyAlignment="1">
      <alignment vertical="center"/>
    </xf>
    <xf numFmtId="10" fontId="2" fillId="6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165" fontId="3" fillId="7" borderId="1" xfId="0" applyNumberFormat="1" applyFont="1" applyFill="1" applyBorder="1" applyAlignment="1">
      <alignment vertical="center"/>
    </xf>
    <xf numFmtId="10" fontId="2" fillId="7" borderId="1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165" fontId="7" fillId="8" borderId="1" xfId="0" applyNumberFormat="1" applyFont="1" applyFill="1" applyBorder="1" applyAlignment="1">
      <alignment vertical="center"/>
    </xf>
    <xf numFmtId="10" fontId="5" fillId="8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0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1">
    <cellStyle name="Normale" xfId="0" builtinId="0"/>
  </cellStyles>
  <dxfs count="12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6"/>
          <bgColor theme="6"/>
        </patternFill>
      </fill>
    </dxf>
    <dxf>
      <font>
        <color rgb="FFFFFFFF"/>
      </font>
      <fill>
        <patternFill patternType="solid">
          <fgColor theme="7"/>
          <bgColor theme="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6"/>
          <bgColor theme="6"/>
        </patternFill>
      </fill>
    </dxf>
    <dxf>
      <font>
        <color rgb="FFFFFFFF"/>
      </font>
      <fill>
        <patternFill patternType="solid">
          <fgColor theme="7"/>
          <bgColor theme="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755650</xdr:colOff>
      <xdr:row>19</xdr:row>
      <xdr:rowOff>292100</xdr:rowOff>
    </xdr:from>
    <xdr:ext cx="2857500" cy="2857500"/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olumn1_2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mn1_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2550" y="6692900"/>
              <a:ext cx="28575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 fLocksWithSheet="0"/>
  </xdr:one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Cache_Table_2_Col_1" xr10:uid="{00000000-0013-0000-FFFF-FFFF02000000}" sourceName="Column1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umn1_2" xr10:uid="{00000000-0014-0000-FFFF-FFFF02000000}" cache="SlicerCache_Table_2_Col_1" caption="Column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D28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showFirstColumn="0" showLastColumn="0" showRowStripes="0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30"/>
  <sheetViews>
    <sheetView showGridLines="0" tabSelected="1" workbookViewId="0">
      <selection activeCell="F13" sqref="F13"/>
    </sheetView>
  </sheetViews>
  <sheetFormatPr baseColWidth="10" defaultColWidth="12.6640625" defaultRowHeight="15.75" customHeight="1" outlineLevelRow="1"/>
  <cols>
    <col min="1" max="1" width="51" customWidth="1"/>
    <col min="2" max="3" width="22.6640625" customWidth="1"/>
    <col min="4" max="4" width="13.33203125" customWidth="1"/>
    <col min="5" max="5" width="5.1640625" customWidth="1"/>
    <col min="6" max="6" width="35" customWidth="1"/>
    <col min="7" max="7" width="1.33203125" customWidth="1"/>
    <col min="8" max="10" width="13.33203125" customWidth="1"/>
  </cols>
  <sheetData>
    <row r="1" spans="1:10" ht="36" customHeight="1">
      <c r="A1" s="1" t="s">
        <v>40</v>
      </c>
      <c r="B1" s="35" t="s">
        <v>39</v>
      </c>
      <c r="C1" s="36"/>
      <c r="D1" s="36"/>
      <c r="E1" s="1"/>
      <c r="F1" s="1"/>
      <c r="G1" s="1"/>
      <c r="H1" s="1"/>
      <c r="I1" s="1"/>
      <c r="J1" s="1"/>
    </row>
    <row r="2" spans="1:10" ht="26.25" customHeight="1">
      <c r="A2" s="2"/>
      <c r="B2" s="3"/>
      <c r="C2" s="3"/>
      <c r="D2" s="2"/>
      <c r="E2" s="2"/>
      <c r="F2" s="2"/>
      <c r="G2" s="2"/>
      <c r="H2" s="5"/>
      <c r="I2" s="2"/>
      <c r="J2" s="2"/>
    </row>
    <row r="3" spans="1:10" ht="26.25" customHeight="1">
      <c r="A3" s="2"/>
      <c r="B3" s="6" t="s">
        <v>0</v>
      </c>
      <c r="C3" s="6" t="s">
        <v>1</v>
      </c>
      <c r="D3" s="6" t="s">
        <v>2</v>
      </c>
      <c r="E3" s="2"/>
      <c r="F3" s="37" t="s">
        <v>3</v>
      </c>
      <c r="G3" s="36"/>
      <c r="H3" s="36"/>
      <c r="I3" s="7" t="s">
        <v>4</v>
      </c>
      <c r="J3" s="2"/>
    </row>
    <row r="4" spans="1:10" ht="26.25" customHeight="1">
      <c r="A4" s="8" t="s">
        <v>5</v>
      </c>
      <c r="B4" s="9"/>
      <c r="C4" s="9">
        <v>0</v>
      </c>
      <c r="D4" s="10">
        <f t="shared" ref="D4:D7" si="0">IFERROR(C4/$C$8,"")</f>
        <v>0</v>
      </c>
      <c r="E4" s="2"/>
      <c r="F4" s="11" t="s">
        <v>6</v>
      </c>
      <c r="G4" s="11"/>
      <c r="H4" s="12">
        <f>IFERROR((C28/C8),0)</f>
        <v>0</v>
      </c>
      <c r="I4" s="7" t="s">
        <v>7</v>
      </c>
      <c r="J4" s="2"/>
    </row>
    <row r="5" spans="1:10" ht="26.25" customHeight="1">
      <c r="A5" s="8" t="s">
        <v>8</v>
      </c>
      <c r="B5" s="13"/>
      <c r="C5" s="13">
        <v>0</v>
      </c>
      <c r="D5" s="14">
        <f t="shared" si="0"/>
        <v>0</v>
      </c>
      <c r="E5" s="2"/>
      <c r="F5" s="11" t="s">
        <v>9</v>
      </c>
      <c r="G5" s="2"/>
      <c r="H5" s="12">
        <f>IFERROR((B14/C8),0)</f>
        <v>0</v>
      </c>
      <c r="I5" s="7" t="s">
        <v>10</v>
      </c>
      <c r="J5" s="2"/>
    </row>
    <row r="6" spans="1:10" ht="26.25" customHeight="1">
      <c r="A6" s="8" t="s">
        <v>11</v>
      </c>
      <c r="B6" s="13"/>
      <c r="C6" s="13">
        <v>0</v>
      </c>
      <c r="D6" s="14">
        <f t="shared" si="0"/>
        <v>0</v>
      </c>
      <c r="E6" s="2"/>
      <c r="F6" s="11" t="s">
        <v>12</v>
      </c>
      <c r="G6" s="2"/>
      <c r="H6" s="12">
        <f>IFERROR(((B10+B13+B16+B21)/C8),0)</f>
        <v>0</v>
      </c>
      <c r="I6" s="7" t="s">
        <v>13</v>
      </c>
      <c r="J6" s="2"/>
    </row>
    <row r="7" spans="1:10" ht="26.25" customHeight="1">
      <c r="A7" s="8" t="s">
        <v>14</v>
      </c>
      <c r="B7" s="13"/>
      <c r="C7" s="13">
        <v>0</v>
      </c>
      <c r="D7" s="14">
        <f t="shared" si="0"/>
        <v>0</v>
      </c>
      <c r="E7" s="2"/>
      <c r="F7" s="11" t="s">
        <v>15</v>
      </c>
      <c r="G7" s="2"/>
      <c r="H7" s="12">
        <f>IFERROR((B26/C8),0)</f>
        <v>0</v>
      </c>
      <c r="I7" s="7" t="s">
        <v>16</v>
      </c>
      <c r="J7" s="2"/>
    </row>
    <row r="8" spans="1:10" ht="26.25" customHeight="1">
      <c r="A8" s="15" t="s">
        <v>17</v>
      </c>
      <c r="B8" s="16"/>
      <c r="C8" s="16">
        <v>95521.36</v>
      </c>
      <c r="D8" s="17">
        <f>SUM(D4:D7)</f>
        <v>0</v>
      </c>
      <c r="E8" s="2"/>
      <c r="F8" s="2"/>
      <c r="G8" s="2"/>
      <c r="H8" s="5"/>
      <c r="I8" s="18"/>
      <c r="J8" s="2"/>
    </row>
    <row r="9" spans="1:10" ht="26.25" customHeight="1">
      <c r="A9" s="8" t="s">
        <v>18</v>
      </c>
      <c r="B9" s="13" t="e">
        <f>SUM(B10:B11)</f>
        <v>#REF!</v>
      </c>
      <c r="C9" s="13"/>
      <c r="D9" s="14" t="str">
        <f>IFERROR(B9/$B$18,"")</f>
        <v/>
      </c>
      <c r="E9" s="2"/>
      <c r="F9" s="2"/>
      <c r="G9" s="2"/>
      <c r="H9" s="5"/>
      <c r="I9" s="18"/>
      <c r="J9" s="2"/>
    </row>
    <row r="10" spans="1:10" ht="26.25" customHeight="1" outlineLevel="1">
      <c r="A10" s="19" t="s">
        <v>19</v>
      </c>
      <c r="B10" s="20">
        <v>0</v>
      </c>
      <c r="C10" s="20"/>
      <c r="D10" s="21"/>
      <c r="E10" s="2"/>
      <c r="F10" s="2"/>
      <c r="G10" s="2"/>
      <c r="H10" s="5"/>
      <c r="I10" s="18"/>
      <c r="J10" s="2"/>
    </row>
    <row r="11" spans="1:10" ht="26.25" customHeight="1" outlineLevel="1">
      <c r="A11" s="19" t="s">
        <v>20</v>
      </c>
      <c r="B11" s="20" t="e">
        <f>#REF!-B10</f>
        <v>#REF!</v>
      </c>
      <c r="C11" s="20"/>
      <c r="D11" s="21"/>
      <c r="E11" s="2"/>
      <c r="F11" s="2"/>
      <c r="G11" s="2"/>
      <c r="H11" s="5"/>
      <c r="I11" s="7" t="s">
        <v>21</v>
      </c>
      <c r="J11" s="2"/>
    </row>
    <row r="12" spans="1:10" ht="26.25" customHeight="1">
      <c r="A12" s="8" t="s">
        <v>22</v>
      </c>
      <c r="B12" s="13" t="e">
        <f>SUM(B13:B14)</f>
        <v>#REF!</v>
      </c>
      <c r="C12" s="13"/>
      <c r="D12" s="14">
        <f>IFERROR((B12/$B$18),0)</f>
        <v>0</v>
      </c>
      <c r="E12" s="2"/>
      <c r="F12" s="2"/>
      <c r="G12" s="2"/>
      <c r="H12" s="5"/>
      <c r="I12" s="7"/>
      <c r="J12" s="2"/>
    </row>
    <row r="13" spans="1:10" ht="26.25" customHeight="1" outlineLevel="1">
      <c r="A13" s="19" t="s">
        <v>23</v>
      </c>
      <c r="B13" s="20">
        <v>0</v>
      </c>
      <c r="C13" s="20"/>
      <c r="D13" s="21"/>
      <c r="E13" s="2"/>
      <c r="F13" s="2"/>
      <c r="G13" s="2"/>
      <c r="H13" s="5"/>
      <c r="I13" s="2"/>
      <c r="J13" s="2"/>
    </row>
    <row r="14" spans="1:10" ht="26.25" customHeight="1" outlineLevel="1">
      <c r="A14" s="19" t="s">
        <v>24</v>
      </c>
      <c r="B14" s="20" t="e">
        <f>#REF!-B13</f>
        <v>#REF!</v>
      </c>
      <c r="C14" s="20"/>
      <c r="D14" s="21"/>
      <c r="E14" s="2"/>
      <c r="F14" s="2"/>
      <c r="G14" s="2"/>
      <c r="H14" s="5"/>
      <c r="I14" s="2"/>
      <c r="J14" s="2"/>
    </row>
    <row r="15" spans="1:10" ht="26.25" customHeight="1">
      <c r="A15" s="8" t="s">
        <v>25</v>
      </c>
      <c r="B15" s="13" t="e">
        <f>SUM(B16:B17)</f>
        <v>#REF!</v>
      </c>
      <c r="C15" s="13"/>
      <c r="D15" s="14">
        <f>IFERROR((B15/$B$18),0)</f>
        <v>0</v>
      </c>
      <c r="E15" s="2"/>
      <c r="F15" s="2"/>
      <c r="G15" s="2"/>
      <c r="H15" s="4"/>
      <c r="I15" s="2"/>
      <c r="J15" s="2"/>
    </row>
    <row r="16" spans="1:10" ht="26.25" customHeight="1" outlineLevel="1">
      <c r="A16" s="19" t="s">
        <v>26</v>
      </c>
      <c r="B16" s="20">
        <v>0</v>
      </c>
      <c r="C16" s="20"/>
      <c r="D16" s="21"/>
      <c r="E16" s="2"/>
      <c r="F16" s="2"/>
      <c r="G16" s="2"/>
      <c r="H16" s="5"/>
      <c r="I16" s="2"/>
      <c r="J16" s="2"/>
    </row>
    <row r="17" spans="1:10" ht="26.25" customHeight="1" outlineLevel="1">
      <c r="A17" s="19" t="s">
        <v>27</v>
      </c>
      <c r="B17" s="20" t="e">
        <f>#REF!-B16</f>
        <v>#REF!</v>
      </c>
      <c r="C17" s="20"/>
      <c r="D17" s="21"/>
      <c r="E17" s="2"/>
      <c r="F17" s="2"/>
      <c r="G17" s="2"/>
      <c r="H17" s="5"/>
      <c r="I17" s="2"/>
      <c r="J17" s="2"/>
    </row>
    <row r="18" spans="1:10" ht="26.25" customHeight="1">
      <c r="A18" s="15" t="s">
        <v>28</v>
      </c>
      <c r="B18" s="16" t="e">
        <f>B9+B12+B15</f>
        <v>#REF!</v>
      </c>
      <c r="C18" s="16"/>
      <c r="D18" s="17">
        <f>SUM(D9:D15)</f>
        <v>0</v>
      </c>
      <c r="E18" s="2"/>
      <c r="F18" s="2"/>
      <c r="G18" s="2"/>
      <c r="H18" s="5"/>
      <c r="I18" s="2"/>
      <c r="J18" s="2"/>
    </row>
    <row r="19" spans="1:10" ht="26.25" customHeight="1">
      <c r="A19" s="15" t="s">
        <v>29</v>
      </c>
      <c r="B19" s="16"/>
      <c r="C19" s="16" t="e">
        <f>C8-B18</f>
        <v>#REF!</v>
      </c>
      <c r="D19" s="17"/>
      <c r="E19" s="2"/>
      <c r="F19" s="2"/>
      <c r="G19" s="2"/>
      <c r="H19" s="5"/>
      <c r="I19" s="2"/>
      <c r="J19" s="2"/>
    </row>
    <row r="20" spans="1:10" ht="26.25" customHeight="1">
      <c r="A20" s="22" t="s">
        <v>30</v>
      </c>
      <c r="B20" s="23"/>
      <c r="C20" s="23"/>
      <c r="D20" s="24" t="str">
        <f>IFERROR(B20/$B$27,"")</f>
        <v/>
      </c>
      <c r="E20" s="2"/>
      <c r="F20" s="2"/>
      <c r="G20" s="2"/>
      <c r="H20" s="5"/>
      <c r="I20" s="2"/>
      <c r="J20" s="2"/>
    </row>
    <row r="21" spans="1:10" ht="26.25" customHeight="1" outlineLevel="1">
      <c r="A21" s="25" t="s">
        <v>31</v>
      </c>
      <c r="B21" s="26">
        <v>0</v>
      </c>
      <c r="C21" s="26"/>
      <c r="D21" s="27"/>
      <c r="E21" s="2"/>
      <c r="F21" s="2"/>
      <c r="G21" s="2"/>
      <c r="H21" s="5"/>
      <c r="I21" s="2"/>
      <c r="J21" s="2"/>
    </row>
    <row r="22" spans="1:10" ht="26.25" customHeight="1" outlineLevel="1">
      <c r="A22" s="25" t="s">
        <v>32</v>
      </c>
      <c r="B22" s="26"/>
      <c r="C22" s="26"/>
      <c r="D22" s="27"/>
      <c r="E22" s="2"/>
      <c r="F22" s="2"/>
      <c r="G22" s="2"/>
      <c r="H22" s="5"/>
      <c r="I22" s="2"/>
      <c r="J22" s="2"/>
    </row>
    <row r="23" spans="1:10" ht="26.25" customHeight="1">
      <c r="A23" s="22" t="s">
        <v>33</v>
      </c>
      <c r="B23" s="23"/>
      <c r="C23" s="23"/>
      <c r="D23" s="24" t="str">
        <f t="shared" ref="D23:D26" si="1">IFERROR(B23/$B$27,"")</f>
        <v/>
      </c>
      <c r="E23" s="2"/>
      <c r="F23" s="28"/>
      <c r="G23" s="28"/>
      <c r="H23" s="29"/>
      <c r="I23" s="2"/>
      <c r="J23" s="2"/>
    </row>
    <row r="24" spans="1:10" ht="26.25" customHeight="1">
      <c r="A24" s="22" t="s">
        <v>34</v>
      </c>
      <c r="B24" s="23"/>
      <c r="C24" s="23"/>
      <c r="D24" s="24" t="str">
        <f t="shared" si="1"/>
        <v/>
      </c>
      <c r="E24" s="2"/>
      <c r="F24" s="28"/>
      <c r="G24" s="28"/>
      <c r="H24" s="29"/>
      <c r="I24" s="2"/>
      <c r="J24" s="2"/>
    </row>
    <row r="25" spans="1:10" ht="26.25" customHeight="1">
      <c r="A25" s="22" t="s">
        <v>35</v>
      </c>
      <c r="B25" s="23"/>
      <c r="C25" s="23"/>
      <c r="D25" s="24" t="str">
        <f t="shared" si="1"/>
        <v/>
      </c>
      <c r="E25" s="2"/>
      <c r="F25" s="2"/>
      <c r="G25" s="2"/>
      <c r="H25" s="5"/>
      <c r="I25" s="2"/>
      <c r="J25" s="2"/>
    </row>
    <row r="26" spans="1:10" ht="26.25" customHeight="1">
      <c r="A26" s="22" t="s">
        <v>36</v>
      </c>
      <c r="B26" s="23"/>
      <c r="C26" s="23"/>
      <c r="D26" s="24" t="str">
        <f t="shared" si="1"/>
        <v/>
      </c>
      <c r="E26" s="2"/>
      <c r="F26" s="2"/>
      <c r="G26" s="2"/>
      <c r="H26" s="5"/>
      <c r="I26" s="2"/>
      <c r="J26" s="2"/>
    </row>
    <row r="27" spans="1:10" ht="26.25" customHeight="1">
      <c r="A27" s="30" t="s">
        <v>37</v>
      </c>
      <c r="B27" s="31">
        <f>B20+B23+B24+B25+B26</f>
        <v>0</v>
      </c>
      <c r="C27" s="31"/>
      <c r="D27" s="32">
        <f>SUM(D20:D26)</f>
        <v>0</v>
      </c>
      <c r="E27" s="2"/>
      <c r="F27" s="2"/>
      <c r="G27" s="2"/>
      <c r="H27" s="5"/>
      <c r="I27" s="2"/>
      <c r="J27" s="2"/>
    </row>
    <row r="28" spans="1:10" ht="26.25" customHeight="1">
      <c r="A28" s="30" t="s">
        <v>38</v>
      </c>
      <c r="B28" s="31"/>
      <c r="C28" s="31" t="e">
        <f>C19-B27</f>
        <v>#REF!</v>
      </c>
      <c r="D28" s="32">
        <f>IFERROR(B28/C8,"")</f>
        <v>0</v>
      </c>
      <c r="E28" s="33"/>
      <c r="F28" s="33"/>
      <c r="G28" s="33"/>
      <c r="H28" s="34"/>
      <c r="I28" s="33"/>
      <c r="J28" s="33"/>
    </row>
    <row r="29" spans="1:10" ht="26.25" customHeight="1">
      <c r="A29" s="2"/>
      <c r="B29" s="3"/>
      <c r="C29" s="3"/>
      <c r="D29" s="2"/>
      <c r="E29" s="2"/>
      <c r="F29" s="2"/>
      <c r="G29" s="2"/>
      <c r="H29" s="5"/>
      <c r="I29" s="2"/>
      <c r="J29" s="2"/>
    </row>
    <row r="30" spans="1:10" ht="26.25" customHeight="1">
      <c r="A30" s="2"/>
      <c r="B30" s="3"/>
      <c r="C30" s="3"/>
      <c r="D30" s="2"/>
      <c r="E30" s="2"/>
      <c r="F30" s="2"/>
      <c r="G30" s="2"/>
      <c r="H30" s="5"/>
      <c r="I30" s="2"/>
      <c r="J30" s="2"/>
    </row>
  </sheetData>
  <customSheetViews>
    <customSheetView guid="{27F44459-43C7-45C0-ADE4-504BCB3459B6}" filter="1" showAutoFilter="1">
      <pageMargins left="0.7" right="0.7" top="0.75" bottom="0.75" header="0.3" footer="0.3"/>
      <autoFilter ref="A3:E28" xr:uid="{6C158A51-59D6-734F-B762-CC2133D92FCE}"/>
    </customSheetView>
  </customSheetViews>
  <mergeCells count="2">
    <mergeCell ref="B1:D1"/>
    <mergeCell ref="F3:H3"/>
  </mergeCells>
  <conditionalFormatting sqref="H4">
    <cfRule type="cellIs" dxfId="11" priority="1" operator="lessThan">
      <formula>"30%"</formula>
    </cfRule>
    <cfRule type="cellIs" dxfId="10" priority="2" operator="between">
      <formula>"30%"</formula>
      <formula>"35%"</formula>
    </cfRule>
    <cfRule type="cellIs" dxfId="9" priority="3" operator="greaterThan">
      <formula>"35%"</formula>
    </cfRule>
  </conditionalFormatting>
  <conditionalFormatting sqref="H5">
    <cfRule type="cellIs" dxfId="8" priority="4" operator="lessThan">
      <formula>"18%"</formula>
    </cfRule>
    <cfRule type="cellIs" dxfId="7" priority="5" operator="between">
      <formula>"18%"</formula>
      <formula>"22%"</formula>
    </cfRule>
    <cfRule type="cellIs" dxfId="6" priority="6" operator="greaterThan">
      <formula>"22%"</formula>
    </cfRule>
  </conditionalFormatting>
  <conditionalFormatting sqref="H6">
    <cfRule type="cellIs" dxfId="5" priority="7" operator="lessThan">
      <formula>5</formula>
    </cfRule>
    <cfRule type="cellIs" dxfId="4" priority="8" operator="between">
      <formula>"28%"</formula>
      <formula>"30%"</formula>
    </cfRule>
    <cfRule type="cellIs" dxfId="3" priority="9" operator="greaterThan">
      <formula>"30%"</formula>
    </cfRule>
  </conditionalFormatting>
  <conditionalFormatting sqref="H7">
    <cfRule type="cellIs" dxfId="2" priority="10" operator="lessThan">
      <formula>"5%"</formula>
    </cfRule>
    <cfRule type="cellIs" dxfId="1" priority="11" operator="between">
      <formula>"5%"</formula>
      <formula>"7%"</formula>
    </cfRule>
    <cfRule type="cellIs" dxfId="0" priority="12" operator="greaterThan">
      <formula>"7%"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USALI DU PARC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Gino Scola</cp:lastModifiedBy>
  <dcterms:created xsi:type="dcterms:W3CDTF">2026-06-20T17:14:42Z</dcterms:created>
  <dcterms:modified xsi:type="dcterms:W3CDTF">2026-06-20T17:18:31Z</dcterms:modified>
</cp:coreProperties>
</file>